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5838AD02-9097-4AB9-935B-21BCA4200FD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<sst xmlns="http://schemas.openxmlformats.org/spreadsheetml/2006/main" count="285" uniqueCount="229">
  <si>
    <t>AI AUDIT LOG - METADATA &amp; SUMMARY</t>
  </si>
  <si>
    <t>STUDENT INFORMATION</t>
  </si>
  <si>
    <t>Student Name:</t>
  </si>
  <si>
    <t>Lê Đức Anh</t>
  </si>
  <si>
    <t>Student ID:</t>
  </si>
  <si>
    <t>DE190254</t>
  </si>
  <si>
    <t>Course:</t>
  </si>
  <si>
    <t>SWP391</t>
  </si>
  <si>
    <t>Assignment:</t>
  </si>
  <si>
    <t>Integrated HR &amp; Product System (HRM)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</si>
  <si>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</si>
  <si>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</si>
  <si>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</si>
  <si>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</si>
  <si>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</si>
  <si>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</si>
  <si>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</si>
  <si>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</si>
  <si>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</si>
  <si>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</si>
  <si>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</si>
  <si>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</si>
  <si>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</si>
  <si>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</si>
  <si>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</si>
  <si>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</si>
  <si>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</si>
  <si>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</si>
  <si>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</si>
  <si>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</si>
  <si>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</si>
  <si>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</si>
  <si>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</si>
  <si>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</si>
  <si>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</si>
  <si>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</si>
  <si>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</si>
  <si>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</si>
  <si>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</si>
  <si>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</si>
  <si>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</si>
  <si>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</si>
  <si>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</si>
  <si>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</si>
  <si>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</si>
  <si>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</si>
  <si>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</si>
  <si>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</si>
  <si>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</si>
  <si>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</si>
  <si>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</si>
  <si>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</si>
  <si>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</si>
  <si>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</si>
  <si>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</si>
  <si>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</si>
  <si>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</si>
  <si>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</si>
  <si>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</si>
  <si>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</si>
  <si>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</si>
  <si>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</si>
  <si>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</si>
  <si>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PROBLEM-SOLVING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</si>
  <si>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</si>
  <si>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</si>
  <si>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</si>
  <si>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</si>
  <si>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</si>
  <si>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Sprint 2 – Thiết kế schema Employee với soft delete và lịch sử công tác</t>
  </si>
  <si>
    <t>Design normalized PostgreSQL schema for Employee: personal info, department, position, contract history, salary config. How to handle soft delete and historical records?</t>
  </si>
  <si>
    <t>AI suggested: Employee table with soft_deleted_at, separate EmploymentHistory table for position changes, SalaryConfig with effective_date.</t>
  </si>
  <si>
    <t>Critical Thinking: Email unique constraint bị conflict khi soft delete — nhân viên nghỉ rồi hire lại cùng email sẽ vi phạm unique.
Contextualization: DRS yêu cầu UC-013 Delete Employee = vô hiệu hóa không xóa thực sự. Cần giữ toàn bộ lịch sử.
Creative Synthesis: Dùng partial unique index WHERE deleted_at IS NULL cho email. Test trên Supabase: partial index hoạt động đúng với UNIQUE.
Decision: Áp dụng partial unique index thay vì deactivate flag + suffix email. Sạch hơn về mặt schema design.</t>
  </si>
  <si>
    <t>Prisma migration file, Supabase SQL test screenshot</t>
  </si>
  <si>
    <t>VERIFICATION</t>
  </si>
  <si>
    <t>Sprint 2 – Xác minh Prisma v7 có support partial unique index natively không</t>
  </si>
  <si>
    <t>Does Prisma v7 support partial unique indexes (WHERE clause) natively in schema.prisma? Or need raw SQL migration?</t>
  </si>
  <si>
    <t>AI claimed Prisma v7 supports partial indexes via @@index with where parameter in schema.prisma.</t>
  </si>
  <si>
    <t>Critical Thinking: HALLUCINATION DETECTED – kiểm tra Prisma v7 changelog và docs không thấy where parameter trong @@index.
Contextualization: Nếu dùng sai cú pháp sẽ fail migration khi deploy lên Supabase, block cả Sprint 2.
Creative Synthesis: Đọc Prisma docs chính thức: partial index cần viết raw SQL trong file migration. Dùng --create-only flag để append SQL thủ công.
Decision: prisma migrate --create-only → append raw SQL → prisma migrate deploy. Documented trong team wiki.</t>
  </si>
  <si>
    <t>Prisma docs screenshot, migration file với raw SQL, error log từ AI suggestion</t>
  </si>
  <si>
    <t>Sprint 3 – Phân rã Attendance module: check-in/out, overtime, adjustment</t>
  </si>
  <si>
    <t>How to decompose Attendance module (UC-021 to UC-027) into backend tasks for a 2-week sprint? What are dependencies between check-in, shift schedule, and overtime?</t>
  </si>
  <si>
    <t>AI suggested: Day 1-2 DB schema, Day 3-5 check-in/out API, Day 6-8 overtime calculator, Day 9-10 adjustment approval, Day 11-14 report API.</t>
  </si>
  <si>
    <t>Critical Thinking: AI không tính đến việc overtime phụ thuộc ShiftSchedule chưa được build ở sprint trước.
Contextualization: UC-026 Track Working Hours cần biết ca làm việc để xác định overtime. ShiftSchedule là prerequisite.
Creative Synthesis: Tách task: ShiftSchedule CRUD trước ngày 3, Check-in/out sau, Overtime sau khi ShiftSchedule stable. Dùng mock ShiftSchedule data để không block parallel dev.
Decision: Ưu tiên ShiftSchedule schema + seed data ngày 1. Daily standup track dependency này.</t>
  </si>
  <si>
    <t>Sprint 3 task board screenshot, dependency graph diagram</t>
  </si>
  <si>
    <t>Sprint 3 – Tính overtime tự động cho ca đêm vượt midnight</t>
  </si>
  <si>
    <t>Algorithm to calculate overtime given: check-in, check-out, shift start/end. Handle edge cases: early check-in, night shift crossing midnight, half-day leave.</t>
  </si>
  <si>
    <t>AI provided: overtime = max(0, checkOut - shiftEnd) + max(0, shiftStart - checkIn). Simple subtraction.</t>
  </si>
  <si>
    <t>Critical Thinking: Công thức sai với ca đêm vượt midnight (23:00–07:00). checkOut &lt; shiftEnd về mặt số học nhưng thực tế là ngày hôm sau.
Contextualization: DRS đề cập mô hình hybrid/remote với nhiều timezone cần xử lý.
Creative Synthesis: Dùng UTC timestamps thay local time strings. Convert về epoch seconds trước khi tính. Viết unit test cho 6 edge cases: đúng giờ, muộn, về sớm, ca đêm, half-day leave, ngày lễ.
Decision: UTC-based calculation + dayjs library, stored as UTC in PostgreSQL. 6/6 unit tests pass.</t>
  </si>
  <si>
    <t>Unit test file attendanceCalc.test.ts, 6 test cases với expected output</t>
  </si>
  <si>
    <t>Sprint 3 – GPS verification cho Remote Check-in UC-023</t>
  </si>
  <si>
    <t>What design pattern for GPS location verification in remote check-in? Company has multiple allowed locations. How to check employee within radius?</t>
  </si>
  <si>
    <t>AI suggested Haversine formula for distance. Store allowed locations with lat/lng/radius. Check if employee location is within any allowed radius.</t>
  </si>
  <si>
    <t>Critical Thinking: Haversine đúng nhưng AI không xử lý case employee tắt GPS và không có pattern cho multiple strategy.
Contextualization: UC-023 nêu rõ: từ chối GPS → không cho remote check-in. Cần graceful denial pattern.
Creative Synthesis: Dùng Strategy Pattern: LocationVerificationStrategy interface với GPSStrategy (Haversine) và OfficeIPStrategy (whitelist IP). Admin cấu hình strategy nào được phép.
Decision: Implement Strategy Pattern, default là GPS. Fallback IP whitelist chỉ khi Admin enable. Testable vì có thể mock strategy.</t>
  </si>
  <si>
    <t>Class diagram Strategy Pattern, GPS calculation test với mock coordinates</t>
  </si>
  <si>
    <t>Sprint 4 – Abstraction Leave Policy cho nhiều loại nghỉ phép khác nhau</t>
  </si>
  <si>
    <t>How to abstract leave policy to support multiple leave types (annual, sick, unpaid, special) with different rules: max days, carry-over, approval levels, required documents?</t>
  </si>
  <si>
    <t>AI suggested: LeaveType table with JSON config field storing rules: {maxDays: 12, carryOver: true, approvalLevels: ['team_leader'], requireDoc: false}.</t>
  </si>
  <si>
    <t>Critical Thinking: JSON config field vi phạm 1NF và làm khó SQL query 'show employees với &lt;5 annual leave days remaining'.
Contextualization: UC-034 Generate Leave Report cần aggregate theo loại phép. JSON field làm aggregation rất phức tạp.
Creative Synthesis: Tách JSON thành columns: max_days_per_year, carry_over_allowed, carry_over_max_days, approval_level, requires_document. Tradeoff: ít flexible nhưng query hiệu quả.
Decision: Normalized columns cho LeavePolicy. Nếu sau cần custom rule phức tạp hơn sẽ dùng Rule Engine riêng.</t>
  </si>
  <si>
    <t>Schema comparison JSON vs normalized, query benchmark report generation time</t>
  </si>
  <si>
    <t>Sprint 4 – Multi-step approval workflow cho Leave Request</t>
  </si>
  <si>
    <t>Design pattern for multi-step approval: Employee → Team Leader → HR Manager (&gt;5 days). Need state tracking, history, rejection at any step.</t>
  </si>
  <si>
    <t>AI suggested State Machine: PENDING → APPROVED_L1 → APPROVED / REJECTED. Use WorkflowHistory table to log each transition.</t>
  </si>
  <si>
    <t>Critical Thinking: State Machine đúng pattern nhưng AI không đề cập configure số bước theo loại nghỉ.
Contextualization: UC-033 Configure Leave Policy có thể thay đổi approval levels. Cần dynamic workflow không hardcode 2 bước.
Creative Synthesis: Dynamic FSM với approval_steps từ LeavePolicy.approval_level config. Thêm ApprovalStep table track ai approve ở bước nào và timestamp.
Decision: Dynamic FSM + ApprovalStep audit table. Flexible cho future policy changes, đáp ứng UC-034 reporting.</t>
  </si>
  <si>
    <t>State diagram Leave FSM, ApprovalStep table schema, unit test state transitions</t>
  </si>
  <si>
    <t>Sprint 5 – Thiết kế Payroll calculation engine: testable và configurable</t>
  </si>
  <si>
    <t>How to design payroll calculation engine: base salary, overtime, bonuses, deductions, tax. Needs to be testable and configurable per company policy.</t>
  </si>
  <si>
    <t>AI suggested single calculatePayroll(employeeId, month) function pulling all data. Returns PayslipDetail object.</t>
  </si>
  <si>
    <t>Critical Thinking: Monolithic function khó test và khó thêm rule mới. Nếu overtime rule thay đổi phải sửa toàn bộ function.
Contextualization: DRS nêu: lương = base + overtime – khấu trừ + thưởng. Mỗi component có quy tắc riêng.
Creative Synthesis: Pipeline Pattern: mỗi component là một PayrollStep (BaseSalaryStep, OvertimeStep, BonusStep, DeductionStep, TaxStep). Chain lại, unit test từng step, dễ thêm step mới.
Decision: Pipeline Pattern với interface PayrollStep. Mỗi step nhận PayslipContext và trả về context đã cập nhật. 100% testable independently.</t>
  </si>
  <si>
    <t>PayrollPipeline class diagram, unit tests cho 5 steps riêng biệt</t>
  </si>
  <si>
    <t>Sprint 5 – Kiểm tra Prisma Decimal precision cho salary calculations</t>
  </si>
  <si>
    <t>Does Prisma Decimal type maintain precision for salary calculations? Is there floating point loss with large salary numbers?</t>
  </si>
  <si>
    <t>AI confirmed Prisma Decimal maps to PostgreSQL NUMERIC which is exact, no floating point loss. Can use Decimal('5000000.50') safely.</t>
  </si>
  <si>
    <t>Critical Thinking: Đúng nhưng AI không đề cập JavaScript side. Prisma Decimal trả về Decimal.js object, không phải number. Code lỗi nếu dùng thẳng JS arithmetic.
Contextualization: PayslipDetail.net_salary = base + overtime - deductions cần tính trong Node.js trước khi save.
Creative Synthesis: Test thực tế: Decimal(1000000) + Decimal(500.50) OK với Decimal.js. Nhưng Number(salary) + 500.50 bị float error. Thêm ESLint rule: ban Number() trên salary fields.
Decision: Enforce toàn bộ payroll calculation dùng Decimal.js. ESLint rule ban Number() trên tiền tệ.</t>
  </si>
  <si>
    <t>Test script output: Decimal vs Number precision, ESLint config</t>
  </si>
  <si>
    <t>Sprint 6 – Phân rã Recruitment module: Application lifecycle end-to-end</t>
  </si>
  <si>
    <t>Decompose Recruitment module (UC-048 to UC-054) into API endpoints and DB schema. Application lifecycle: Applied → Screening → Interview → Offered → Hired/Rejected?</t>
  </si>
  <si>
    <t>AI suggested: JobPosting, Candidate, Application tables with status enum. Single applications table for entire lifecycle.</t>
  </si>
  <si>
    <t>Critical Thinking: Single Application table với status enum đủ cho MVP nhưng mất interview details, scores, và multiple rounds.
Contextualization: UC-051 Schedule Interview + UC-052 Record Interview Result cần store nhiều rounds và interviewer feedback.
Creative Synthesis: Tách InterviewSchedule và InterviewResult thành bảng riêng, FK đến Application. Pattern này giống Leave FSM đã dùng ở Sprint 4 — consistent approach.
Decision: Application (status FSM) + InterviewSchedule + InterviewResult tables. Consistent với pattern đã apply trước đó.</t>
  </si>
  <si>
    <t>Recruitment ER diagram, so sánh với Leave module pattern</t>
  </si>
  <si>
    <t>Sprint 6 – Secure file upload CV: xử lý PDF/DOCX từ untrusted external candidates</t>
  </si>
  <si>
    <t>How to handle CV file upload (PDF, DOCX) in Node.js + Supabase? Pattern for secure file access and preventing malicious uploads?</t>
  </si>
  <si>
    <t>AI suggested: multer for upload, store in Supabase Storage, return public URL. Check file extension and MIME type.</t>
  </si>
  <si>
    <t>Critical Thinking: HALLUCINATION PARTIAL – multer đúng nhưng chỉ check extension dễ bypass. Attacker đổi tên .exe thành .pdf sẽ qua được.
Contextualization: CV từ ứng viên bên ngoài là untrusted input. UC-049 Apply for Job là public endpoint, risk cao hơn internal endpoints.
Creative Synthesis: Kiểm tra cả MIME type (file-type library) + file header magic bytes + size limit 5MB. Lưu trong Supabase private bucket, generate signed URL khi Recruiter cần xem. Public URL là security risk.
Decision: file-type library + private bucket + signed URL expiry 1 hour. Documented trong security checklist.</t>
  </si>
  <si>
    <t>Security test: malicious file upload attempt, signed URL config Supabase</t>
  </si>
  <si>
    <t>Sprint 7 – KPI module: phân rã và prioritize trong 1 tuần cuối</t>
  </si>
  <si>
    <t>How to design KPI management (UC-055 to UC-060) for a 1-week sprint? Module has tight coupling: KPI creation → assignment → self-eval → review → approval. Prioritize?</t>
  </si>
  <si>
    <t>AI suggested full implementation: KPI CRUD + assignment + both evaluation flows + dashboard analytics in 1 week.</t>
  </si>
  <si>
    <t>Critical Thinking: 1 tuần cho toàn bộ KPI là unrealistic khi nhóm còn đang finish Recruitment.
Contextualization: SWP391 ưu tiên MVP. Dashboard analytics UC-060 là nice-to-have.
Creative Synthesis: MoSCoW: KPI CRUD + Employee Assignment (must), Self-evaluation (must), Team Leader evaluate (should), KPI Analytics dashboard (could, defer nếu hết thời gian).
Decision: Áp dụng MoSCoW cho KPI sprint. Skip UC-060 nếu không đủ thời gian, ghi nhận trong backlog.</t>
  </si>
  <si>
    <t>MoSCoW prioritization board, Sprint 7 velocity estimate</t>
  </si>
  <si>
    <t>Sprint 7 – Kiểm tra công thức tính KPI score tổng hợp</t>
  </si>
  <si>
    <t>Is this KPI formula correct: totalScore = SUM(actual/target * weight) where SUM(weights) = 100%?</t>
  </si>
  <si>
    <t>AI confirmed the formula is correct and standard for balanced scorecard KPI calculation.</t>
  </si>
  <si>
    <t>Critical Thinking: Đúng về toán học NHƯNG AI không đề cập edge case: actualValue &gt; targetValue (vượt KPI 200% distort average).
Contextualization: UC-056 Evaluate Employee cần fair comparison. Không cap thì score có thể &gt; 100%.
Creative Synthesis: Thêm clamp: achievement = MIN(1.0, actual/target). Discuss với team: cap ở 1.0 cho consistency hay để &gt; 1 như incentive? Team đồng ý cap.
Decision: Clamped weighted average: MIN(1.0, actual/target) * weight. Ghi nhận decision trong team meeting notes.</t>
  </si>
  <si>
    <t>Formula test script với edge cases, team meeting decision log</t>
  </si>
  <si>
    <t>Integration Week – Notification system abstraction cho toàn hệ thống</t>
  </si>
  <si>
    <t>How to abstract notification system used across all modules (leave approval, payroll ready, KPI assigned, interview scheduled)? Direct email or event-driven?</t>
  </si>
  <si>
    <t>AI suggested: NotificationService class with sendEmail() method. Call directly from each module's business logic.</t>
  </si>
  <si>
    <t>Critical Thinking: Coupling notification vào business logic làm khó test. Unit test Attendance logic sẽ require email server mock.
Contextualization: UC-062 Receive Notification cần support cả in-app và email. Direct coupling khó thêm channel mới sau.
Creative Synthesis: Event-driven: mỗi business action emit domain event (LeaveApproved, PayrollReady, KPIAssigned). NotificationService lắng nghe events, xử lý independently. Dùng Node.js EventEmitter.
Decision: EventEmitter-based notification. Business logic emit events, không biết gì về email/notification. Dễ test, dễ thêm channel mới.</t>
  </si>
  <si>
    <t>Event flow diagram, unit test không cần email mock, example event handler</t>
  </si>
  <si>
    <t>Final Sprint – Race condition test: 50 concurrent check-in requests lúc 9AM</t>
  </si>
  <si>
    <t>Check-in endpoint: SELECT attendance WHERE date=today AND employeeId → if not exists INSERT. Race condition risk with 50 concurrent employees?</t>
  </si>
  <si>
    <t>AI said: Add unique constraint on (employeeId, date), then use INSERT ... ON CONFLICT DO NOTHING to handle duplicates.</t>
  </si>
  <si>
    <t>Critical Thinking: Đúng về unique constraint nhưng Prisma v7 không expose ON CONFLICT trực tiếp trong stable query API.
Contextualization: Dùng Prisma + Supabase PostgreSQL. Cần Prisma-compatible solution.
Creative Synthesis: Prisma-compatible: unique constraint DB level + try-catch để catch P2002 (unique constraint violation) thay ON CONFLICT. Đây là idiomatic Prisma pattern.
Decision: Prisma P2002 error handling thay ON CONFLICT. Đơn giản hơn, idiomatic. Test concurrent 50 requests: 0 duplicates.</t>
  </si>
  <si>
    <t>Concurrent test script 50 requests, Prisma P2002 handler code, test results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</si>
  <si>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</si>
  <si>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</si>
  <si>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</si>
  <si>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</si>
  <si>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</si>
  <si>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</si>
  <si>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</si>
  <si>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</si>
  <si>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</si>
  <si>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</si>
  <si>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</si>
  <si>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</si>
  <si>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</si>
  <si>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Incomplete Info</t>
  </si>
  <si>
    <t>Prisma Decimal type là exact precision, an toàn cho salary calculation trong Node.js</t>
  </si>
  <si>
    <t>Đúng về DB level nhưng Prisma trả về Decimal.js object, không phải JS number. Nếu dùng JS arithmetic trực tiếp sẽ bị float error.</t>
  </si>
  <si>
    <t>Test thực tế: Number(Decimal('1000000.50')) + 0.10 = float precision error</t>
  </si>
  <si>
    <t>Enforce Decimal.js throughout Node.js payroll calculations, ESLint rule ban Number() on monetary fields</t>
  </si>
  <si>
    <t>Oversimplification</t>
  </si>
  <si>
    <t>Kiểm tra file extension và MIME type là đủ để prevent malicious file upload</t>
  </si>
  <si>
    <t>Extension check dễ bypass (đổi tên .exe thành .pdf). MIME type từ HTTP header cũng có thể bị forged bởi client.</t>
  </si>
  <si>
    <t>Security research: OWASP File Upload Cheat Sheet, test manual với đổi extension</t>
  </si>
  <si>
    <t>Thêm file-type library kiểm tra magic bytes trong file content, không tin HTTP header. Store trong private bucket với signed URL.</t>
  </si>
  <si>
    <t>INSERT ... ON CONFLICT DO NOTHING là cách xử lý race condition tốt nhất</t>
  </si>
  <si>
    <t>ON CONFLICT không available trực tiếp qua Prisma v7 stable query API, chỉ qua raw SQL.</t>
  </si>
  <si>
    <t>Kiểm tra Prisma docs: không thấy onConflict option trong create(). Test Prisma query không support syntax này.</t>
  </si>
  <si>
    <t>Dùng idiomatic Prisma: try-catch P2002 error (unique constraint violation) thay vì ON CONFLICT raw SQL.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</si>
  <si>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</si>
  <si>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</si>
  <si>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</si>
  <si>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</si>
  <si>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</si>
  <si>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</si>
  <si>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</si>
  <si>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</si>
  <si>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</si>
  <si>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✔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</si>
  <si>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</si>
  <si>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</si>
  <si>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</si>
  <si>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</si>
  <si>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</si>
  <si>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</si>
  <si>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</si>
  <si>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</si>
  <si>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</si>
  <si>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</si>
  <si>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</si>
  <si>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</si>
  <si>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</si>
  <si>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</si>
  <si>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</si>
  <si>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</si>
  <si>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</si>
  <si>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</si>
  <si>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</si>
  <si>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</si>
  <si>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</si>
  <si>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</si>
  <si>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</si>
  <si>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</si>
  <si>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</si>
  <si>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</si>
  <si>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</si>
  <si>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</si>
  <si>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</si>
  <si>
    <t>✔ Migration fail sẽ block toàn Sprint 2</t>
  </si>
  <si>
    <t>✔ Prisma docs link + error log evidence</t>
  </si>
  <si>
    <t>✔ Docs screenshot + migration file</t>
  </si>
  <si>
    <t>✔ Overtime algorithm là core business logic payroll</t>
  </si>
  <si>
    <t>✔ 6 edge cases, UTC approach, dayjs library</t>
  </si>
  <si>
    <t>✔ 6/6 unit tests pass</t>
  </si>
  <si>
    <t>✔ Payroll pipeline design ảnh hưởng testability</t>
  </si>
  <si>
    <t>✔ Pipeline vs monolith tradeoff explain được</t>
  </si>
  <si>
    <t>✔ Class diagram + unit tests</t>
  </si>
  <si>
    <t>✔ Security issue CV upload ảnh hưởng toàn Recruitment module</t>
  </si>
  <si>
    <t>✔ OWASP references, private bucket decision</t>
  </si>
  <si>
    <t>✔ Security test + signed URL config</t>
  </si>
  <si>
    <t>✔ Notification abstraction ảnh hưởng tất cả modules</t>
  </si>
  <si>
    <t>✔ Event-driven vs direct coupling tradeoff</t>
  </si>
  <si>
    <t>✔ Event flow diagram + test</t>
  </si>
  <si>
    <t>✔ Race condition fix ảnh hưởng data integrity</t>
  </si>
  <si>
    <t>✔ ON CONFLICT vs P2002 pattern Prisma</t>
  </si>
  <si>
    <t>✔ Concurrent test 50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</si>
</sst>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sz val="10"/>
      <name val="Calibri"/>
      <charset val="1"/>
    </font>
    <font>
      <b/>
      <sz val="12"/>
      <color rgb="FFFF0000"/>
      <name val="Calibri"/>
      <charset val="1"/>
    </font>
    <font>
      <sz val="11"/>
      <color rgb="FFFF0000"/>
      <name val="Calibri"/>
      <charset val="1"/>
    </font>
    <font>
      <i/>
      <sz val="1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66CC"/>
      </patternFill>
    </fill>
    <fill>
      <patternFill patternType="solid">
        <fgColor theme="2" tint="-9.9978637043366805E-2"/>
        <bgColor rgb="FFCCF2FF"/>
      </patternFill>
    </fill>
    <fill>
      <patternFill patternType="solid">
        <fgColor theme="2" tint="-9.9978637043366805E-2"/>
        <bgColor rgb="FFD6E4F7"/>
      </patternFill>
    </fill>
    <fill>
      <patternFill patternType="solid">
        <fgColor theme="2" tint="-9.9978637043366805E-2"/>
        <bgColor rgb="FFFFD6D6"/>
      </patternFill>
    </fill>
    <fill>
      <patternFill patternType="solid">
        <fgColor theme="2" tint="-9.9978637043366805E-2"/>
        <bgColor rgb="FFFFE0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top" wrapText="1"/>
    </xf>
    <xf numFmtId="0" fontId="0" fillId="5" borderId="0" xfId="0" applyFill="1"/>
    <xf numFmtId="0" fontId="2" fillId="5" borderId="0" xfId="0" applyFont="1" applyFill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2FF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5F2E3"/>
      <rgbColor rgb="FFFFF2CC"/>
      <rgbColor rgb="FFF2F2F2"/>
      <rgbColor rgb="FFFFD6D6"/>
      <rgbColor rgb="FFFFE0CC"/>
      <rgbColor rgb="FFFFCCCC"/>
      <rgbColor rgb="FF2E75B6"/>
      <rgbColor rgb="FF33CCCC"/>
      <rgbColor rgb="FF99CC00"/>
      <rgbColor rgb="FFFFE0B2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Normal="100" workbookViewId="0">
      <selection activeCell="B24" sqref="B24:B27"/>
    </sheetView>
  </sheetViews>
  <sheetFormatPr defaultColWidth="8.7109375"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20.25" customHeight="1" x14ac:dyDescent="0.25">
      <c r="A1" s="5" t="s">
        <v>0</v>
      </c>
      <c r="B1" s="5"/>
      <c r="C1" s="5"/>
      <c r="D1" s="5"/>
      <c r="E1" s="5"/>
      <c r="F1" s="5"/>
    </row>
    <row r="3" spans="1:6" ht="18.75" customHeight="1" x14ac:dyDescent="0.3">
      <c r="A3" s="6" t="s">
        <v>1</v>
      </c>
    </row>
    <row r="4" spans="1:6" ht="15" customHeight="1" x14ac:dyDescent="0.25">
      <c r="A4" s="7" t="s">
        <v>2</v>
      </c>
      <c r="C4" t="s">
        <v>3</v>
      </c>
    </row>
    <row r="5" spans="1:6" ht="15" customHeight="1" x14ac:dyDescent="0.25">
      <c r="A5" s="7" t="s">
        <v>4</v>
      </c>
      <c r="C5" t="s">
        <v>5</v>
      </c>
    </row>
    <row r="6" spans="1:6" ht="15" customHeight="1" x14ac:dyDescent="0.25">
      <c r="A6" s="7" t="s">
        <v>6</v>
      </c>
      <c r="C6" t="s">
        <v>7</v>
      </c>
    </row>
    <row r="7" spans="1:6" ht="15" customHeight="1" x14ac:dyDescent="0.25">
      <c r="A7" s="7" t="s">
        <v>8</v>
      </c>
      <c r="C7" t="s">
        <v>9</v>
      </c>
    </row>
    <row r="9" spans="1:6" ht="18.75" customHeight="1" x14ac:dyDescent="0.3">
      <c r="A9" s="6" t="s">
        <v>10</v>
      </c>
    </row>
    <row r="10" spans="1:6" ht="15" customHeight="1" x14ac:dyDescent="0.25">
      <c r="A10" s="7" t="s">
        <v>11</v>
      </c>
      <c r="C10">
        <v>180</v>
      </c>
    </row>
    <row r="11" spans="1:6" ht="15" customHeight="1" x14ac:dyDescent="0.25">
      <c r="A11" s="7" t="s">
        <v>12</v>
      </c>
      <c r="C11" s="8">
        <v>18</v>
      </c>
    </row>
    <row r="12" spans="1:6" ht="15" customHeight="1" x14ac:dyDescent="0.25">
      <c r="A12" s="7" t="s">
        <v>13</v>
      </c>
      <c r="C12" s="9">
        <f>C11/C10</f>
        <v>0.1</v>
      </c>
      <c r="E12" s="10" t="s">
        <v>14</v>
      </c>
    </row>
    <row r="13" spans="1:6" ht="15" customHeight="1" x14ac:dyDescent="0.25">
      <c r="A13" s="7" t="s">
        <v>15</v>
      </c>
      <c r="C13" s="8">
        <v>4</v>
      </c>
    </row>
    <row r="15" spans="1:6" ht="18.75" customHeight="1" x14ac:dyDescent="0.3">
      <c r="A15" s="6" t="s">
        <v>16</v>
      </c>
    </row>
    <row r="16" spans="1:6" ht="15" customHeight="1" x14ac:dyDescent="0.25">
      <c r="A16" s="11" t="s">
        <v>17</v>
      </c>
      <c r="B16" s="11" t="s">
        <v>18</v>
      </c>
      <c r="C16" s="11" t="s">
        <v>19</v>
      </c>
      <c r="D16" s="11" t="s">
        <v>20</v>
      </c>
    </row>
    <row r="17" spans="1:4" ht="15" customHeight="1" x14ac:dyDescent="0.25">
      <c r="A17" s="12" t="s">
        <v>21</v>
      </c>
      <c r="B17" s="12" t="s">
        <v>22</v>
      </c>
      <c r="C17" s="12" t="s">
        <v>23</v>
      </c>
      <c r="D17" s="12" t="s">
        <v>24</v>
      </c>
    </row>
    <row r="18" spans="1:4" ht="15" customHeight="1" x14ac:dyDescent="0.25">
      <c r="A18" s="12" t="s">
        <v>25</v>
      </c>
      <c r="B18" s="12" t="s">
        <v>26</v>
      </c>
      <c r="C18" s="12" t="s">
        <v>27</v>
      </c>
      <c r="D18" s="12" t="s">
        <v>28</v>
      </c>
    </row>
    <row r="19" spans="1:4" ht="15" customHeight="1" x14ac:dyDescent="0.25">
      <c r="A19" s="12" t="s">
        <v>29</v>
      </c>
      <c r="B19" s="12" t="s">
        <v>30</v>
      </c>
      <c r="C19" s="12" t="s">
        <v>23</v>
      </c>
      <c r="D19" s="12" t="s">
        <v>31</v>
      </c>
    </row>
    <row r="20" spans="1:4" ht="15" customHeight="1" x14ac:dyDescent="0.25">
      <c r="A20" s="12" t="s">
        <v>32</v>
      </c>
      <c r="B20" s="12"/>
      <c r="C20" s="12"/>
      <c r="D20" s="12"/>
    </row>
    <row r="22" spans="1:4" ht="18.75" customHeight="1" x14ac:dyDescent="0.3">
      <c r="A22" s="6" t="s">
        <v>33</v>
      </c>
    </row>
    <row r="23" spans="1:4" ht="15" customHeight="1" x14ac:dyDescent="0.25">
      <c r="A23" s="11" t="s">
        <v>34</v>
      </c>
      <c r="B23" s="11" t="s">
        <v>35</v>
      </c>
      <c r="C23" s="11" t="s">
        <v>36</v>
      </c>
    </row>
    <row r="24" spans="1:4" ht="15" customHeight="1" x14ac:dyDescent="0.25">
      <c r="A24" s="12" t="s">
        <v>37</v>
      </c>
      <c r="B24" s="13">
        <v>5</v>
      </c>
      <c r="C24" s="14" t="s">
        <v>38</v>
      </c>
    </row>
    <row r="25" spans="1:4" ht="15" customHeight="1" x14ac:dyDescent="0.25">
      <c r="A25" s="12" t="s">
        <v>39</v>
      </c>
      <c r="B25" s="13">
        <v>4</v>
      </c>
      <c r="C25" s="14" t="s">
        <v>38</v>
      </c>
    </row>
    <row r="26" spans="1:4" ht="15" customHeight="1" x14ac:dyDescent="0.25">
      <c r="A26" s="12" t="s">
        <v>40</v>
      </c>
      <c r="B26" s="13">
        <v>5</v>
      </c>
      <c r="C26" s="14" t="s">
        <v>38</v>
      </c>
    </row>
    <row r="27" spans="1:4" ht="15" customHeight="1" x14ac:dyDescent="0.25">
      <c r="A27" s="12" t="s">
        <v>41</v>
      </c>
      <c r="B27" s="13">
        <v>4</v>
      </c>
      <c r="C27" s="14" t="s">
        <v>38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D10" zoomScaleNormal="100" workbookViewId="0">
      <selection activeCell="A21" sqref="A7:H21"/>
    </sheetView>
  </sheetViews>
  <sheetFormatPr defaultColWidth="8.7109375" defaultRowHeight="15" x14ac:dyDescent="0.25"/>
  <cols>
    <col min="1" max="1" width="8" customWidth="1"/>
    <col min="2" max="3" width="18" customWidth="1"/>
    <col min="4" max="4" width="40" customWidth="1"/>
    <col min="5" max="5" width="55" customWidth="1"/>
    <col min="6" max="6" width="50" customWidth="1"/>
    <col min="7" max="7" width="80" customWidth="1"/>
    <col min="8" max="8" width="40" customWidth="1"/>
  </cols>
  <sheetData>
    <row r="1" spans="1:8" ht="20.25" customHeight="1" x14ac:dyDescent="0.25">
      <c r="A1" s="5" t="s">
        <v>42</v>
      </c>
      <c r="B1" s="5"/>
      <c r="C1" s="5"/>
      <c r="D1" s="5"/>
      <c r="E1" s="5"/>
      <c r="F1" s="5"/>
      <c r="G1" s="5"/>
      <c r="H1" s="5"/>
    </row>
    <row r="2" spans="1:8" ht="30" customHeight="1" x14ac:dyDescent="0.25">
      <c r="A2" s="4" t="s">
        <v>43</v>
      </c>
      <c r="B2" s="4"/>
      <c r="C2" s="4"/>
      <c r="D2" s="4"/>
      <c r="E2" s="4"/>
      <c r="F2" s="4"/>
      <c r="G2" s="4"/>
      <c r="H2" s="4"/>
    </row>
    <row r="3" spans="1:8" ht="39.75" customHeight="1" x14ac:dyDescent="0.25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</row>
    <row r="4" spans="1:8" ht="90" customHeight="1" x14ac:dyDescent="0.25">
      <c r="A4" s="23">
        <v>1</v>
      </c>
      <c r="B4" s="30" t="s">
        <v>52</v>
      </c>
      <c r="C4" s="31" t="s">
        <v>37</v>
      </c>
      <c r="D4" s="23" t="s">
        <v>53</v>
      </c>
      <c r="E4" s="23" t="s">
        <v>54</v>
      </c>
      <c r="F4" s="23" t="s">
        <v>55</v>
      </c>
      <c r="G4" s="23" t="s">
        <v>56</v>
      </c>
      <c r="H4" s="15" t="s">
        <v>57</v>
      </c>
    </row>
    <row r="5" spans="1:8" ht="90" customHeight="1" x14ac:dyDescent="0.25">
      <c r="A5" s="23">
        <v>2</v>
      </c>
      <c r="B5" s="30" t="s">
        <v>52</v>
      </c>
      <c r="C5" s="32" t="s">
        <v>40</v>
      </c>
      <c r="D5" s="23" t="s">
        <v>58</v>
      </c>
      <c r="E5" s="23" t="s">
        <v>59</v>
      </c>
      <c r="F5" s="23" t="s">
        <v>60</v>
      </c>
      <c r="G5" s="23" t="s">
        <v>61</v>
      </c>
      <c r="H5" s="15" t="s">
        <v>62</v>
      </c>
    </row>
    <row r="6" spans="1:8" ht="90" customHeight="1" x14ac:dyDescent="0.25">
      <c r="A6" s="23">
        <v>3</v>
      </c>
      <c r="B6" s="30" t="s">
        <v>63</v>
      </c>
      <c r="C6" s="33" t="s">
        <v>41</v>
      </c>
      <c r="D6" s="23" t="s">
        <v>64</v>
      </c>
      <c r="E6" s="23" t="s">
        <v>65</v>
      </c>
      <c r="F6" s="23" t="s">
        <v>66</v>
      </c>
      <c r="G6" s="23" t="s">
        <v>67</v>
      </c>
      <c r="H6" s="15" t="s">
        <v>68</v>
      </c>
    </row>
    <row r="7" spans="1:8" ht="90" customHeight="1" x14ac:dyDescent="0.25">
      <c r="A7" s="15">
        <v>4</v>
      </c>
      <c r="B7" s="34" t="s">
        <v>52</v>
      </c>
      <c r="C7" s="34" t="s">
        <v>37</v>
      </c>
      <c r="D7" s="15" t="s">
        <v>69</v>
      </c>
      <c r="E7" s="15" t="s">
        <v>70</v>
      </c>
      <c r="F7" s="15" t="s">
        <v>71</v>
      </c>
      <c r="G7" s="15" t="s">
        <v>72</v>
      </c>
      <c r="H7" s="15" t="s">
        <v>73</v>
      </c>
    </row>
    <row r="8" spans="1:8" ht="90" customHeight="1" x14ac:dyDescent="0.25">
      <c r="A8" s="15">
        <v>5</v>
      </c>
      <c r="B8" s="34" t="s">
        <v>74</v>
      </c>
      <c r="C8" s="34" t="s">
        <v>39</v>
      </c>
      <c r="D8" s="15" t="s">
        <v>75</v>
      </c>
      <c r="E8" s="15" t="s">
        <v>76</v>
      </c>
      <c r="F8" s="15" t="s">
        <v>77</v>
      </c>
      <c r="G8" s="15" t="s">
        <v>78</v>
      </c>
      <c r="H8" s="15" t="s">
        <v>79</v>
      </c>
    </row>
    <row r="9" spans="1:8" ht="90" customHeight="1" x14ac:dyDescent="0.25">
      <c r="A9" s="15">
        <v>6</v>
      </c>
      <c r="B9" s="34" t="s">
        <v>52</v>
      </c>
      <c r="C9" s="34" t="s">
        <v>37</v>
      </c>
      <c r="D9" s="15" t="s">
        <v>80</v>
      </c>
      <c r="E9" s="15" t="s">
        <v>81</v>
      </c>
      <c r="F9" s="15" t="s">
        <v>82</v>
      </c>
      <c r="G9" s="15" t="s">
        <v>83</v>
      </c>
      <c r="H9" s="15" t="s">
        <v>84</v>
      </c>
    </row>
    <row r="10" spans="1:8" ht="90" customHeight="1" x14ac:dyDescent="0.25">
      <c r="A10" s="15">
        <v>7</v>
      </c>
      <c r="B10" s="34" t="s">
        <v>63</v>
      </c>
      <c r="C10" s="34" t="s">
        <v>41</v>
      </c>
      <c r="D10" s="15" t="s">
        <v>85</v>
      </c>
      <c r="E10" s="15" t="s">
        <v>86</v>
      </c>
      <c r="F10" s="15" t="s">
        <v>87</v>
      </c>
      <c r="G10" s="15" t="s">
        <v>88</v>
      </c>
      <c r="H10" s="15" t="s">
        <v>89</v>
      </c>
    </row>
    <row r="11" spans="1:8" ht="90" customHeight="1" x14ac:dyDescent="0.25">
      <c r="A11" s="15">
        <v>8</v>
      </c>
      <c r="B11" s="34" t="s">
        <v>63</v>
      </c>
      <c r="C11" s="34" t="s">
        <v>39</v>
      </c>
      <c r="D11" s="15" t="s">
        <v>90</v>
      </c>
      <c r="E11" s="15" t="s">
        <v>91</v>
      </c>
      <c r="F11" s="15" t="s">
        <v>92</v>
      </c>
      <c r="G11" s="15" t="s">
        <v>93</v>
      </c>
      <c r="H11" s="15" t="s">
        <v>94</v>
      </c>
    </row>
    <row r="12" spans="1:8" ht="90" customHeight="1" x14ac:dyDescent="0.25">
      <c r="A12" s="15">
        <v>9</v>
      </c>
      <c r="B12" s="34" t="s">
        <v>52</v>
      </c>
      <c r="C12" s="34" t="s">
        <v>40</v>
      </c>
      <c r="D12" s="15" t="s">
        <v>95</v>
      </c>
      <c r="E12" s="15" t="s">
        <v>96</v>
      </c>
      <c r="F12" s="15" t="s">
        <v>97</v>
      </c>
      <c r="G12" s="15" t="s">
        <v>98</v>
      </c>
      <c r="H12" s="15" t="s">
        <v>99</v>
      </c>
    </row>
    <row r="13" spans="1:8" ht="90" customHeight="1" x14ac:dyDescent="0.25">
      <c r="A13" s="15">
        <v>10</v>
      </c>
      <c r="B13" s="34" t="s">
        <v>63</v>
      </c>
      <c r="C13" s="34" t="s">
        <v>39</v>
      </c>
      <c r="D13" s="15" t="s">
        <v>100</v>
      </c>
      <c r="E13" s="15" t="s">
        <v>101</v>
      </c>
      <c r="F13" s="15" t="s">
        <v>102</v>
      </c>
      <c r="G13" s="15" t="s">
        <v>103</v>
      </c>
      <c r="H13" s="15" t="s">
        <v>104</v>
      </c>
    </row>
    <row r="14" spans="1:8" ht="90" customHeight="1" x14ac:dyDescent="0.25">
      <c r="A14" s="15">
        <v>11</v>
      </c>
      <c r="B14" s="34" t="s">
        <v>52</v>
      </c>
      <c r="C14" s="34" t="s">
        <v>40</v>
      </c>
      <c r="D14" s="15" t="s">
        <v>105</v>
      </c>
      <c r="E14" s="15" t="s">
        <v>106</v>
      </c>
      <c r="F14" s="15" t="s">
        <v>107</v>
      </c>
      <c r="G14" s="15" t="s">
        <v>108</v>
      </c>
      <c r="H14" s="15" t="s">
        <v>109</v>
      </c>
    </row>
    <row r="15" spans="1:8" ht="90" customHeight="1" x14ac:dyDescent="0.25">
      <c r="A15" s="15">
        <v>12</v>
      </c>
      <c r="B15" s="34" t="s">
        <v>74</v>
      </c>
      <c r="C15" s="34" t="s">
        <v>40</v>
      </c>
      <c r="D15" s="15" t="s">
        <v>110</v>
      </c>
      <c r="E15" s="15" t="s">
        <v>111</v>
      </c>
      <c r="F15" s="15" t="s">
        <v>112</v>
      </c>
      <c r="G15" s="15" t="s">
        <v>113</v>
      </c>
      <c r="H15" s="15" t="s">
        <v>114</v>
      </c>
    </row>
    <row r="16" spans="1:8" ht="90" customHeight="1" x14ac:dyDescent="0.25">
      <c r="A16" s="15">
        <v>13</v>
      </c>
      <c r="B16" s="34" t="s">
        <v>52</v>
      </c>
      <c r="C16" s="34" t="s">
        <v>37</v>
      </c>
      <c r="D16" s="15" t="s">
        <v>115</v>
      </c>
      <c r="E16" s="15" t="s">
        <v>116</v>
      </c>
      <c r="F16" s="15" t="s">
        <v>117</v>
      </c>
      <c r="G16" s="15" t="s">
        <v>118</v>
      </c>
      <c r="H16" s="15" t="s">
        <v>119</v>
      </c>
    </row>
    <row r="17" spans="1:8" ht="90" customHeight="1" x14ac:dyDescent="0.25">
      <c r="A17" s="15">
        <v>14</v>
      </c>
      <c r="B17" s="34" t="s">
        <v>63</v>
      </c>
      <c r="C17" s="34" t="s">
        <v>39</v>
      </c>
      <c r="D17" s="15" t="s">
        <v>120</v>
      </c>
      <c r="E17" s="15" t="s">
        <v>121</v>
      </c>
      <c r="F17" s="15" t="s">
        <v>122</v>
      </c>
      <c r="G17" s="15" t="s">
        <v>123</v>
      </c>
      <c r="H17" s="15" t="s">
        <v>124</v>
      </c>
    </row>
    <row r="18" spans="1:8" ht="90" customHeight="1" x14ac:dyDescent="0.25">
      <c r="A18" s="15">
        <v>15</v>
      </c>
      <c r="B18" s="34" t="s">
        <v>52</v>
      </c>
      <c r="C18" s="34" t="s">
        <v>37</v>
      </c>
      <c r="D18" s="15" t="s">
        <v>125</v>
      </c>
      <c r="E18" s="15" t="s">
        <v>126</v>
      </c>
      <c r="F18" s="15" t="s">
        <v>127</v>
      </c>
      <c r="G18" s="15" t="s">
        <v>128</v>
      </c>
      <c r="H18" s="15" t="s">
        <v>129</v>
      </c>
    </row>
    <row r="19" spans="1:8" ht="90" customHeight="1" x14ac:dyDescent="0.25">
      <c r="A19" s="15">
        <v>16</v>
      </c>
      <c r="B19" s="34" t="s">
        <v>74</v>
      </c>
      <c r="C19" s="34" t="s">
        <v>39</v>
      </c>
      <c r="D19" s="15" t="s">
        <v>130</v>
      </c>
      <c r="E19" s="15" t="s">
        <v>131</v>
      </c>
      <c r="F19" s="15" t="s">
        <v>132</v>
      </c>
      <c r="G19" s="15" t="s">
        <v>133</v>
      </c>
      <c r="H19" s="15" t="s">
        <v>134</v>
      </c>
    </row>
    <row r="20" spans="1:8" ht="90" customHeight="1" x14ac:dyDescent="0.25">
      <c r="A20" s="15">
        <v>17</v>
      </c>
      <c r="B20" s="34" t="s">
        <v>52</v>
      </c>
      <c r="C20" s="34" t="s">
        <v>40</v>
      </c>
      <c r="D20" s="15" t="s">
        <v>135</v>
      </c>
      <c r="E20" s="15" t="s">
        <v>136</v>
      </c>
      <c r="F20" s="15" t="s">
        <v>137</v>
      </c>
      <c r="G20" s="15" t="s">
        <v>138</v>
      </c>
      <c r="H20" s="15" t="s">
        <v>139</v>
      </c>
    </row>
    <row r="21" spans="1:8" ht="90" customHeight="1" x14ac:dyDescent="0.25">
      <c r="A21" s="15">
        <v>18</v>
      </c>
      <c r="B21" s="34" t="s">
        <v>74</v>
      </c>
      <c r="C21" s="34" t="s">
        <v>41</v>
      </c>
      <c r="D21" s="15" t="s">
        <v>140</v>
      </c>
      <c r="E21" s="15" t="s">
        <v>141</v>
      </c>
      <c r="F21" s="15" t="s">
        <v>142</v>
      </c>
      <c r="G21" s="15" t="s">
        <v>143</v>
      </c>
      <c r="H21" s="15" t="s">
        <v>144</v>
      </c>
    </row>
    <row r="22" spans="1:8" ht="79.5" customHeight="1" x14ac:dyDescent="0.25">
      <c r="A22" s="12"/>
      <c r="B22" s="35"/>
      <c r="C22" s="35"/>
      <c r="D22" s="12"/>
      <c r="E22" s="12"/>
      <c r="F22" s="12"/>
      <c r="G22" s="12"/>
      <c r="H22" s="12"/>
    </row>
    <row r="23" spans="1:8" ht="79.5" customHeight="1" x14ac:dyDescent="0.25">
      <c r="A23" s="12"/>
      <c r="B23" s="35"/>
      <c r="C23" s="35"/>
      <c r="D23" s="12"/>
      <c r="E23" s="12"/>
      <c r="F23" s="12"/>
      <c r="G23" s="12"/>
      <c r="H23" s="12"/>
    </row>
    <row r="24" spans="1:8" ht="79.5" customHeight="1" x14ac:dyDescent="0.25">
      <c r="A24" s="12"/>
      <c r="B24" s="35"/>
      <c r="C24" s="35"/>
      <c r="D24" s="12"/>
      <c r="E24" s="12"/>
      <c r="F24" s="12"/>
      <c r="G24" s="12"/>
      <c r="H24" s="12"/>
    </row>
    <row r="25" spans="1:8" ht="79.5" customHeight="1" x14ac:dyDescent="0.25">
      <c r="A25" s="12"/>
      <c r="B25" s="12"/>
      <c r="C25" s="12"/>
      <c r="D25" s="12"/>
      <c r="E25" s="12"/>
      <c r="F25" s="12"/>
      <c r="G25" s="12"/>
      <c r="H25" s="12"/>
    </row>
    <row r="26" spans="1:8" ht="79.5" customHeight="1" x14ac:dyDescent="0.25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C1" zoomScaleNormal="100" workbookViewId="0">
      <selection activeCell="A7" sqref="A4:F7"/>
    </sheetView>
  </sheetViews>
  <sheetFormatPr defaultColWidth="8.7109375" defaultRowHeight="15" x14ac:dyDescent="0.25"/>
  <cols>
    <col min="1" max="1" width="12" customWidth="1"/>
    <col min="2" max="2" width="22" customWidth="1"/>
    <col min="3" max="6" width="60" customWidth="1"/>
  </cols>
  <sheetData>
    <row r="1" spans="1:6" ht="20.25" customHeight="1" x14ac:dyDescent="0.25">
      <c r="A1" s="3" t="s">
        <v>145</v>
      </c>
      <c r="B1" s="3"/>
      <c r="C1" s="3"/>
      <c r="D1" s="3"/>
      <c r="E1" s="3"/>
      <c r="F1" s="3"/>
    </row>
    <row r="2" spans="1:6" ht="15" customHeight="1" x14ac:dyDescent="0.25">
      <c r="A2" s="2" t="s">
        <v>146</v>
      </c>
      <c r="B2" s="2"/>
      <c r="C2" s="2"/>
      <c r="D2" s="2"/>
      <c r="E2" s="2"/>
      <c r="F2" s="2"/>
    </row>
    <row r="3" spans="1:6" ht="39.75" customHeight="1" x14ac:dyDescent="0.25">
      <c r="A3" s="11" t="s">
        <v>147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152</v>
      </c>
    </row>
    <row r="4" spans="1:6" ht="69.75" customHeight="1" x14ac:dyDescent="0.25">
      <c r="A4" s="15">
        <v>5</v>
      </c>
      <c r="B4" s="34" t="s">
        <v>153</v>
      </c>
      <c r="C4" s="15" t="s">
        <v>154</v>
      </c>
      <c r="D4" s="15" t="s">
        <v>155</v>
      </c>
      <c r="E4" s="15" t="s">
        <v>156</v>
      </c>
      <c r="F4" s="15" t="s">
        <v>157</v>
      </c>
    </row>
    <row r="5" spans="1:6" ht="69.75" customHeight="1" x14ac:dyDescent="0.25">
      <c r="A5" s="15">
        <v>12</v>
      </c>
      <c r="B5" s="34" t="s">
        <v>158</v>
      </c>
      <c r="C5" s="15" t="s">
        <v>159</v>
      </c>
      <c r="D5" s="15" t="s">
        <v>160</v>
      </c>
      <c r="E5" s="15" t="s">
        <v>161</v>
      </c>
      <c r="F5" s="15" t="s">
        <v>162</v>
      </c>
    </row>
    <row r="6" spans="1:6" ht="69.75" customHeight="1" x14ac:dyDescent="0.25">
      <c r="A6" s="15">
        <v>14</v>
      </c>
      <c r="B6" s="34" t="s">
        <v>163</v>
      </c>
      <c r="C6" s="15" t="s">
        <v>164</v>
      </c>
      <c r="D6" s="15" t="s">
        <v>165</v>
      </c>
      <c r="E6" s="15" t="s">
        <v>166</v>
      </c>
      <c r="F6" s="15" t="s">
        <v>167</v>
      </c>
    </row>
    <row r="7" spans="1:6" ht="69.75" customHeight="1" x14ac:dyDescent="0.25">
      <c r="A7" s="15">
        <v>18</v>
      </c>
      <c r="B7" s="34" t="s">
        <v>158</v>
      </c>
      <c r="C7" s="15" t="s">
        <v>168</v>
      </c>
      <c r="D7" s="15" t="s">
        <v>169</v>
      </c>
      <c r="E7" s="15" t="s">
        <v>170</v>
      </c>
      <c r="F7" s="15" t="s">
        <v>171</v>
      </c>
    </row>
    <row r="8" spans="1:6" ht="60" customHeight="1" x14ac:dyDescent="0.25">
      <c r="A8" s="12"/>
      <c r="B8" s="12"/>
      <c r="C8" s="12"/>
      <c r="D8" s="12"/>
      <c r="E8" s="12"/>
      <c r="F8" s="12"/>
    </row>
    <row r="9" spans="1:6" ht="60" customHeight="1" x14ac:dyDescent="0.25">
      <c r="A9" s="12"/>
      <c r="B9" s="12"/>
      <c r="C9" s="12"/>
      <c r="D9" s="12"/>
      <c r="E9" s="12"/>
      <c r="F9" s="12"/>
    </row>
    <row r="10" spans="1:6" ht="60" customHeight="1" x14ac:dyDescent="0.25">
      <c r="A10" s="12"/>
      <c r="B10" s="12"/>
      <c r="C10" s="12"/>
      <c r="D10" s="12"/>
      <c r="E10" s="12"/>
      <c r="F10" s="12"/>
    </row>
    <row r="11" spans="1:6" ht="60" customHeight="1" x14ac:dyDescent="0.25">
      <c r="A11" s="12"/>
      <c r="B11" s="12"/>
      <c r="C11" s="12"/>
      <c r="D11" s="12"/>
      <c r="E11" s="12"/>
      <c r="F11" s="12"/>
    </row>
    <row r="12" spans="1:6" ht="60" customHeight="1" x14ac:dyDescent="0.25">
      <c r="A12" s="12"/>
      <c r="B12" s="12"/>
      <c r="C12" s="12"/>
      <c r="D12" s="12"/>
      <c r="E12" s="12"/>
      <c r="F12" s="12"/>
    </row>
    <row r="13" spans="1:6" ht="60" customHeight="1" x14ac:dyDescent="0.25">
      <c r="A13" s="12"/>
      <c r="B13" s="12"/>
      <c r="C13" s="12"/>
      <c r="D13" s="12"/>
      <c r="E13" s="12"/>
      <c r="F13" s="12"/>
    </row>
    <row r="14" spans="1:6" ht="60" customHeight="1" x14ac:dyDescent="0.25">
      <c r="A14" s="12"/>
      <c r="B14" s="12"/>
      <c r="C14" s="12"/>
      <c r="D14" s="12"/>
      <c r="E14" s="12"/>
      <c r="F14" s="12"/>
    </row>
    <row r="15" spans="1:6" ht="60" customHeight="1" x14ac:dyDescent="0.25">
      <c r="A15" s="12"/>
      <c r="B15" s="12"/>
      <c r="C15" s="12"/>
      <c r="D15" s="12"/>
      <c r="E15" s="12"/>
      <c r="F15" s="12"/>
    </row>
    <row r="16" spans="1:6" ht="60" customHeight="1" x14ac:dyDescent="0.25">
      <c r="A16" s="12"/>
      <c r="B16" s="12"/>
      <c r="C16" s="12"/>
      <c r="D16" s="12"/>
      <c r="E16" s="12"/>
      <c r="F16" s="12"/>
    </row>
    <row r="17" spans="1:6" ht="60" customHeight="1" x14ac:dyDescent="0.25">
      <c r="A17" s="12"/>
      <c r="B17" s="12"/>
      <c r="C17" s="12"/>
      <c r="D17" s="12"/>
      <c r="E17" s="12"/>
      <c r="F17" s="12"/>
    </row>
    <row r="18" spans="1:6" ht="60" customHeight="1" x14ac:dyDescent="0.25">
      <c r="A18" s="12"/>
      <c r="B18" s="12"/>
      <c r="C18" s="12"/>
      <c r="D18" s="12"/>
      <c r="E18" s="12"/>
      <c r="F18" s="12"/>
    </row>
    <row r="19" spans="1:6" ht="60" customHeight="1" x14ac:dyDescent="0.25">
      <c r="A19" s="12"/>
      <c r="B19" s="12"/>
      <c r="C19" s="12"/>
      <c r="D19" s="12"/>
      <c r="E19" s="12"/>
      <c r="F19" s="12"/>
    </row>
    <row r="20" spans="1:6" ht="60" customHeight="1" x14ac:dyDescent="0.25">
      <c r="A20" s="12"/>
      <c r="B20" s="12"/>
      <c r="C20" s="12"/>
      <c r="D20" s="12"/>
      <c r="E20" s="12"/>
      <c r="F20" s="12"/>
    </row>
    <row r="21" spans="1:6" ht="60" customHeight="1" x14ac:dyDescent="0.25">
      <c r="A21" s="12"/>
      <c r="B21" s="12"/>
      <c r="C21" s="12"/>
      <c r="D21" s="12"/>
      <c r="E21" s="12"/>
      <c r="F21" s="12"/>
    </row>
    <row r="22" spans="1:6" ht="60" customHeight="1" x14ac:dyDescent="0.25">
      <c r="A22" s="12"/>
      <c r="B22" s="12"/>
      <c r="C22" s="12"/>
      <c r="D22" s="12"/>
      <c r="E22" s="12"/>
      <c r="F22" s="12"/>
    </row>
    <row r="23" spans="1:6" ht="60" customHeight="1" x14ac:dyDescent="0.25">
      <c r="A23" s="12"/>
      <c r="B23" s="12"/>
      <c r="C23" s="12"/>
      <c r="D23" s="12"/>
      <c r="E23" s="12"/>
      <c r="F23" s="12"/>
    </row>
    <row r="24" spans="1:6" ht="60" customHeight="1" x14ac:dyDescent="0.25">
      <c r="A24" s="12"/>
      <c r="B24" s="12"/>
      <c r="C24" s="12"/>
      <c r="D24" s="12"/>
      <c r="E24" s="12"/>
      <c r="F24" s="12"/>
    </row>
    <row r="30" spans="1:6" ht="18.75" customHeight="1" x14ac:dyDescent="0.3">
      <c r="A30" s="6"/>
    </row>
    <row r="31" spans="1:6" ht="15" customHeight="1" x14ac:dyDescent="0.25">
      <c r="A31" s="16"/>
      <c r="B31" s="16"/>
      <c r="C31" s="16"/>
    </row>
    <row r="32" spans="1:6" ht="30" customHeight="1" x14ac:dyDescent="0.25">
      <c r="A32" s="12"/>
      <c r="B32" s="12"/>
      <c r="C32" s="12"/>
    </row>
    <row r="33" spans="1:3" ht="30" customHeight="1" x14ac:dyDescent="0.25">
      <c r="A33" s="12"/>
      <c r="B33" s="12"/>
      <c r="C33" s="12"/>
    </row>
    <row r="34" spans="1:3" ht="30" customHeight="1" x14ac:dyDescent="0.25">
      <c r="A34" s="12"/>
      <c r="B34" s="12"/>
      <c r="C34" s="12"/>
    </row>
    <row r="35" spans="1:3" ht="30" customHeight="1" x14ac:dyDescent="0.25">
      <c r="A35" s="12"/>
      <c r="B35" s="12"/>
      <c r="C35" s="12"/>
    </row>
    <row r="36" spans="1:3" ht="45" customHeight="1" x14ac:dyDescent="0.25">
      <c r="A36" s="12"/>
      <c r="B36" s="12"/>
      <c r="C36" s="12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abSelected="1" topLeftCell="A26" zoomScaleNormal="100" workbookViewId="0">
      <selection activeCell="D35" sqref="A28:D35"/>
    </sheetView>
  </sheetViews>
  <sheetFormatPr defaultColWidth="8.7109375"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20.25" customHeight="1" x14ac:dyDescent="0.25">
      <c r="A1" s="5" t="s">
        <v>172</v>
      </c>
      <c r="B1" s="5"/>
      <c r="C1" s="5"/>
      <c r="D1" s="5"/>
    </row>
    <row r="2" spans="1:4" ht="15" customHeight="1" x14ac:dyDescent="0.25">
      <c r="A2" s="1" t="s">
        <v>173</v>
      </c>
      <c r="B2" s="1"/>
      <c r="C2" s="1"/>
      <c r="D2" s="1"/>
    </row>
    <row r="4" spans="1:4" ht="18.75" customHeight="1" x14ac:dyDescent="0.3">
      <c r="A4" s="6" t="s">
        <v>174</v>
      </c>
    </row>
    <row r="5" spans="1:4" ht="15" customHeight="1" x14ac:dyDescent="0.25">
      <c r="A5" s="11" t="s">
        <v>175</v>
      </c>
      <c r="B5" s="17" t="s">
        <v>176</v>
      </c>
      <c r="C5" s="11" t="s">
        <v>177</v>
      </c>
      <c r="D5" s="17" t="s">
        <v>178</v>
      </c>
    </row>
    <row r="6" spans="1:4" ht="15" customHeight="1" x14ac:dyDescent="0.25">
      <c r="A6" s="24" t="s">
        <v>179</v>
      </c>
      <c r="B6" s="25" t="s">
        <v>180</v>
      </c>
      <c r="C6" s="24" t="s">
        <v>181</v>
      </c>
      <c r="D6" s="25"/>
    </row>
    <row r="7" spans="1:4" ht="15" customHeight="1" x14ac:dyDescent="0.25">
      <c r="A7" s="24" t="s">
        <v>182</v>
      </c>
      <c r="B7" s="25" t="s">
        <v>183</v>
      </c>
      <c r="C7" s="24" t="s">
        <v>181</v>
      </c>
      <c r="D7" s="25"/>
    </row>
    <row r="8" spans="1:4" ht="15" customHeight="1" x14ac:dyDescent="0.25">
      <c r="A8" s="24" t="s">
        <v>184</v>
      </c>
      <c r="B8" s="25" t="s">
        <v>185</v>
      </c>
      <c r="C8" s="24" t="s">
        <v>181</v>
      </c>
      <c r="D8" s="25"/>
    </row>
    <row r="9" spans="1:4" ht="15" customHeight="1" x14ac:dyDescent="0.25">
      <c r="A9" s="24" t="s">
        <v>186</v>
      </c>
      <c r="B9" s="25" t="s">
        <v>187</v>
      </c>
      <c r="C9" s="24" t="s">
        <v>181</v>
      </c>
      <c r="D9" s="25"/>
    </row>
    <row r="10" spans="1:4" ht="15" customHeight="1" x14ac:dyDescent="0.25">
      <c r="A10" s="24" t="s">
        <v>188</v>
      </c>
      <c r="B10" s="25" t="s">
        <v>189</v>
      </c>
      <c r="C10" s="24" t="s">
        <v>181</v>
      </c>
      <c r="D10" s="25"/>
    </row>
    <row r="11" spans="1:4" x14ac:dyDescent="0.25">
      <c r="A11" s="26"/>
      <c r="B11" s="26"/>
      <c r="C11" s="26"/>
      <c r="D11" s="26"/>
    </row>
    <row r="12" spans="1:4" ht="18.75" customHeight="1" x14ac:dyDescent="0.3">
      <c r="A12" s="27" t="s">
        <v>190</v>
      </c>
      <c r="B12" s="26"/>
      <c r="C12" s="26"/>
      <c r="D12" s="26"/>
    </row>
    <row r="13" spans="1:4" ht="15" customHeight="1" x14ac:dyDescent="0.25">
      <c r="A13" s="28" t="s">
        <v>175</v>
      </c>
      <c r="B13" s="29" t="s">
        <v>176</v>
      </c>
      <c r="C13" s="28" t="s">
        <v>177</v>
      </c>
      <c r="D13" s="29" t="s">
        <v>191</v>
      </c>
    </row>
    <row r="14" spans="1:4" ht="15" customHeight="1" x14ac:dyDescent="0.25">
      <c r="A14" s="24" t="s">
        <v>179</v>
      </c>
      <c r="B14" s="25" t="s">
        <v>192</v>
      </c>
      <c r="C14" s="24" t="s">
        <v>181</v>
      </c>
      <c r="D14" s="25"/>
    </row>
    <row r="15" spans="1:4" ht="15" customHeight="1" x14ac:dyDescent="0.25">
      <c r="A15" s="24" t="s">
        <v>182</v>
      </c>
      <c r="B15" s="25" t="s">
        <v>193</v>
      </c>
      <c r="C15" s="24" t="s">
        <v>181</v>
      </c>
      <c r="D15" s="25"/>
    </row>
    <row r="16" spans="1:4" ht="15" customHeight="1" x14ac:dyDescent="0.25">
      <c r="A16" s="24" t="s">
        <v>184</v>
      </c>
      <c r="B16" s="25" t="s">
        <v>194</v>
      </c>
      <c r="C16" s="24" t="s">
        <v>181</v>
      </c>
      <c r="D16" s="25"/>
    </row>
    <row r="17" spans="1:4" ht="15" customHeight="1" x14ac:dyDescent="0.25">
      <c r="A17" s="24" t="s">
        <v>186</v>
      </c>
      <c r="B17" s="25" t="s">
        <v>195</v>
      </c>
      <c r="C17" s="24" t="s">
        <v>181</v>
      </c>
      <c r="D17" s="25"/>
    </row>
    <row r="18" spans="1:4" ht="15" customHeight="1" x14ac:dyDescent="0.25">
      <c r="A18" s="24" t="s">
        <v>188</v>
      </c>
      <c r="B18" s="25" t="s">
        <v>196</v>
      </c>
      <c r="C18" s="24" t="s">
        <v>181</v>
      </c>
      <c r="D18" s="25"/>
    </row>
    <row r="20" spans="1:4" ht="15.75" customHeight="1" x14ac:dyDescent="0.25">
      <c r="A20" s="18" t="s">
        <v>197</v>
      </c>
    </row>
    <row r="21" spans="1:4" ht="15" customHeight="1" x14ac:dyDescent="0.25">
      <c r="A21" s="19" t="s">
        <v>198</v>
      </c>
    </row>
    <row r="22" spans="1:4" ht="15" customHeight="1" x14ac:dyDescent="0.25">
      <c r="A22" s="19" t="s">
        <v>199</v>
      </c>
    </row>
    <row r="25" spans="1:4" ht="18.75" customHeight="1" x14ac:dyDescent="0.3">
      <c r="A25" s="6" t="s">
        <v>200</v>
      </c>
    </row>
    <row r="26" spans="1:4" ht="15" customHeight="1" x14ac:dyDescent="0.25">
      <c r="A26" s="20" t="s">
        <v>201</v>
      </c>
    </row>
    <row r="27" spans="1:4" ht="60" customHeight="1" x14ac:dyDescent="0.25">
      <c r="A27" s="21" t="s">
        <v>44</v>
      </c>
      <c r="B27" s="16" t="s">
        <v>202</v>
      </c>
      <c r="C27" s="16" t="s">
        <v>203</v>
      </c>
      <c r="D27" s="16" t="s">
        <v>204</v>
      </c>
    </row>
    <row r="28" spans="1:4" ht="81.75" customHeight="1" x14ac:dyDescent="0.25">
      <c r="A28" s="34">
        <v>1</v>
      </c>
      <c r="B28" s="34" t="s">
        <v>205</v>
      </c>
      <c r="C28" s="34" t="s">
        <v>206</v>
      </c>
      <c r="D28" s="34" t="s">
        <v>207</v>
      </c>
    </row>
    <row r="29" spans="1:4" ht="68.25" customHeight="1" x14ac:dyDescent="0.25">
      <c r="A29" s="34">
        <v>3</v>
      </c>
      <c r="B29" s="34" t="s">
        <v>208</v>
      </c>
      <c r="C29" s="34" t="s">
        <v>209</v>
      </c>
      <c r="D29" s="34" t="s">
        <v>210</v>
      </c>
    </row>
    <row r="30" spans="1:4" ht="54.75" customHeight="1" x14ac:dyDescent="0.25">
      <c r="A30" s="15">
        <v>5</v>
      </c>
      <c r="B30" s="15" t="s">
        <v>211</v>
      </c>
      <c r="C30" s="15" t="s">
        <v>212</v>
      </c>
      <c r="D30" s="15" t="s">
        <v>213</v>
      </c>
    </row>
    <row r="31" spans="1:4" ht="68.25" customHeight="1" x14ac:dyDescent="0.25">
      <c r="A31" s="22">
        <v>7</v>
      </c>
      <c r="B31" s="22" t="s">
        <v>214</v>
      </c>
      <c r="C31" s="22" t="s">
        <v>215</v>
      </c>
      <c r="D31" s="22" t="s">
        <v>216</v>
      </c>
    </row>
    <row r="32" spans="1:4" ht="81.75" customHeight="1" x14ac:dyDescent="0.25">
      <c r="A32" s="22">
        <v>11</v>
      </c>
      <c r="B32" s="22" t="s">
        <v>217</v>
      </c>
      <c r="C32" s="22" t="s">
        <v>218</v>
      </c>
      <c r="D32" s="22" t="s">
        <v>219</v>
      </c>
    </row>
    <row r="33" spans="1:4" ht="81.75" customHeight="1" x14ac:dyDescent="0.25">
      <c r="A33" s="22">
        <v>14</v>
      </c>
      <c r="B33" s="22" t="s">
        <v>220</v>
      </c>
      <c r="C33" s="22" t="s">
        <v>221</v>
      </c>
      <c r="D33" s="22" t="s">
        <v>222</v>
      </c>
    </row>
    <row r="34" spans="1:4" ht="68.25" customHeight="1" x14ac:dyDescent="0.25">
      <c r="A34" s="22">
        <v>17</v>
      </c>
      <c r="B34" s="22" t="s">
        <v>223</v>
      </c>
      <c r="C34" s="22" t="s">
        <v>224</v>
      </c>
      <c r="D34" s="22" t="s">
        <v>225</v>
      </c>
    </row>
    <row r="35" spans="1:4" ht="68.25" customHeight="1" x14ac:dyDescent="0.25">
      <c r="A35" s="22">
        <v>18</v>
      </c>
      <c r="B35" s="22" t="s">
        <v>226</v>
      </c>
      <c r="C35" s="22" t="s">
        <v>227</v>
      </c>
      <c r="D35" s="22" t="s">
        <v>228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Anh Lê Đức</cp:lastModifiedBy>
  <cp:revision>0</cp:revision>
  <dcterms:created xsi:type="dcterms:W3CDTF">2026-05-07T22:28:42Z</dcterms:created>
  <dcterms:modified xsi:type="dcterms:W3CDTF">2026-06-07T15:10:59Z</dcterms:modified>
  <dc:language>en-US</dc:language>
</cp:coreProperties>
</file>